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\Desktop\Estudos\Projetos\deportivo_backend\"/>
    </mc:Choice>
  </mc:AlternateContent>
  <xr:revisionPtr revIDLastSave="0" documentId="13_ncr:1_{2D6DFFD7-0406-42DA-B344-8286AA9E3D43}" xr6:coauthVersionLast="47" xr6:coauthVersionMax="47" xr10:uidLastSave="{00000000-0000-0000-0000-000000000000}"/>
  <bookViews>
    <workbookView xWindow="20370" yWindow="-120" windowWidth="20730" windowHeight="11160" xr2:uid="{0D712DF3-00C7-4D48-B08B-B1166C9953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" i="1"/>
  <c r="M1" i="1"/>
  <c r="G15" i="1"/>
  <c r="G14" i="1"/>
  <c r="G13" i="1"/>
  <c r="G12" i="1"/>
  <c r="G5" i="1"/>
  <c r="G6" i="1"/>
  <c r="G7" i="1"/>
  <c r="G8" i="1"/>
  <c r="G9" i="1"/>
  <c r="G10" i="1"/>
  <c r="G11" i="1"/>
  <c r="G4" i="1"/>
</calcChain>
</file>

<file path=xl/sharedStrings.xml><?xml version="1.0" encoding="utf-8"?>
<sst xmlns="http://schemas.openxmlformats.org/spreadsheetml/2006/main" count="85" uniqueCount="57">
  <si>
    <t>Jogos Deportivo 2022</t>
  </si>
  <si>
    <t xml:space="preserve">Dia </t>
  </si>
  <si>
    <t>Time</t>
  </si>
  <si>
    <t>Adversário</t>
  </si>
  <si>
    <t>Deportivo</t>
  </si>
  <si>
    <t>Time Preto</t>
  </si>
  <si>
    <t>X</t>
  </si>
  <si>
    <t>Cascavel Express</t>
  </si>
  <si>
    <t>Adversários</t>
  </si>
  <si>
    <t>Time do Bobby</t>
  </si>
  <si>
    <t>Parque São Paulo</t>
  </si>
  <si>
    <t>V</t>
  </si>
  <si>
    <t>E</t>
  </si>
  <si>
    <t>D</t>
  </si>
  <si>
    <t>G</t>
  </si>
  <si>
    <t>Nome</t>
  </si>
  <si>
    <t>Thiago</t>
  </si>
  <si>
    <t>Gols</t>
  </si>
  <si>
    <t>Donnavan</t>
  </si>
  <si>
    <t>Tiago Galo</t>
  </si>
  <si>
    <t>Carlin</t>
  </si>
  <si>
    <t>Joãozinho</t>
  </si>
  <si>
    <t>Eduardo</t>
  </si>
  <si>
    <t>Henrique (Convidado)</t>
  </si>
  <si>
    <t>Pagliarini</t>
  </si>
  <si>
    <t>Paulo Henrique</t>
  </si>
  <si>
    <t>Diego (Convidado)</t>
  </si>
  <si>
    <t>Allan</t>
  </si>
  <si>
    <t>Contra</t>
  </si>
  <si>
    <t>Bruno Henrique</t>
  </si>
  <si>
    <t>Eduardo Bertollo</t>
  </si>
  <si>
    <t>Wellington</t>
  </si>
  <si>
    <t>x</t>
  </si>
  <si>
    <t>Zamara</t>
  </si>
  <si>
    <t>Carlão</t>
  </si>
  <si>
    <t>Time Amarelo</t>
  </si>
  <si>
    <t>Erick</t>
  </si>
  <si>
    <t>Time de Azul</t>
  </si>
  <si>
    <t>1º</t>
  </si>
  <si>
    <t>2º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</si>
  <si>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</si>
  <si>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</si>
  <si>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</si>
  <si>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</si>
  <si>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</si>
  <si>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</si>
  <si>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</si>
  <si>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</si>
  <si>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</si>
  <si>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</si>
  <si>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</si>
  <si>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</si>
  <si>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</si>
  <si>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</si>
  <si>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</si>
  <si>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-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</si>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</sst>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16" fontId="0" fillId="0" borderId="1" xfId="0" applyNumberFormat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2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5" borderId="3" xfId="0" applyFont="1" applyFill="1" applyBorder="1" applyAlignment="1">
      <alignment horizontal="center"/>
    </xf>
    <xf numFmtId="0" fontId="0" fillId="2" borderId="7" xfId="0" applyFill="1" applyBorder="1"/>
    <xf numFmtId="0" fontId="0" fillId="6" borderId="1" xfId="0" applyFill="1" applyBorder="1"/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" fontId="0" fillId="0" borderId="0" xfId="0" applyNumberFormat="1"/>
    <xf numFmtId="0" fontId="0" fillId="0" borderId="11" xfId="0" applyFill="1" applyBorder="1"/>
    <xf numFmtId="0" fontId="0" fillId="2" borderId="11" xfId="0" applyFill="1" applyBorder="1"/>
    <xf numFmtId="0" fontId="0" fillId="4" borderId="11" xfId="0" applyFill="1" applyBorder="1"/>
    <xf numFmtId="0" fontId="1" fillId="2" borderId="11" xfId="0" applyFont="1" applyFill="1" applyBorder="1" applyAlignment="1">
      <alignment horizontal="center"/>
    </xf>
    <xf numFmtId="0" fontId="0" fillId="0" borderId="12" xfId="0" applyBorder="1"/>
    <xf numFmtId="0" fontId="1" fillId="5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7" borderId="1" xfId="0" applyFill="1" applyBorder="1"/>
    <xf numFmtId="0" fontId="1" fillId="4" borderId="11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7BAC-24C1-40DD-859F-162B79BE66DE}">
  <dimension ref="A1:N19"/>
  <sheetViews>
    <sheetView tabSelected="1" workbookViewId="0">
      <selection activeCell="Q8" sqref="Q8"/>
    </sheetView>
  </sheetViews>
  <sheetFormatPr defaultRowHeight="15" x14ac:dyDescent="0.25"/>
  <cols>
    <col min="1" max="1" width="7.28515625" bestFit="1" customWidth="1"/>
    <col min="2" max="2" width="9.85546875" bestFit="1" customWidth="1"/>
    <col min="3" max="3" width="3" bestFit="1" customWidth="1"/>
    <col min="4" max="4" width="2.140625" bestFit="1" customWidth="1"/>
    <col min="5" max="5" width="3" bestFit="1" customWidth="1"/>
    <col min="6" max="6" width="16.42578125" bestFit="1" customWidth="1"/>
    <col min="7" max="7" width="2.28515625" bestFit="1" customWidth="1"/>
    <col min="8" max="8" width="2" bestFit="1" customWidth="1"/>
    <col min="9" max="9" width="2.28515625" bestFit="1" customWidth="1"/>
    <col min="11" max="11" width="20.85546875" bestFit="1" customWidth="1"/>
    <col min="12" max="12" width="5" bestFit="1" customWidth="1"/>
  </cols>
  <sheetData>
    <row r="1" spans="1:14" ht="19.5" thickBot="1" x14ac:dyDescent="0.35">
      <c r="A1" s="17" t="s">
        <v>0</v>
      </c>
      <c r="B1" s="18"/>
      <c r="C1" s="18"/>
      <c r="D1" s="18"/>
      <c r="E1" s="18"/>
      <c r="F1" s="19"/>
      <c r="G1" s="15" t="s">
        <v>11</v>
      </c>
      <c r="H1" s="2" t="s">
        <v>12</v>
      </c>
      <c r="I1" s="3" t="s">
        <v>13</v>
      </c>
      <c r="K1" s="14" t="s">
        <v>15</v>
      </c>
      <c r="L1" s="26" t="s">
        <v>17</v>
      </c>
      <c r="M1" s="33">
        <f>SUM(L2:L19)</f>
        <v>80</v>
      </c>
      <c r="N1" s="33" t="s">
        <v>56</v>
      </c>
    </row>
    <row r="2" spans="1:14" x14ac:dyDescent="0.25">
      <c r="G2" s="16">
        <v>6</v>
      </c>
      <c r="H2" s="16">
        <v>1</v>
      </c>
      <c r="I2" s="16">
        <v>5</v>
      </c>
      <c r="K2" s="11" t="s">
        <v>22</v>
      </c>
      <c r="L2" s="27">
        <v>24</v>
      </c>
      <c r="M2" s="2" t="s">
        <v>38</v>
      </c>
      <c r="N2">
        <f>(L2*100)/M$1</f>
        <v>30</v>
      </c>
    </row>
    <row r="3" spans="1:14" x14ac:dyDescent="0.25">
      <c r="A3" s="6" t="s">
        <v>1</v>
      </c>
      <c r="B3" s="6" t="s">
        <v>2</v>
      </c>
      <c r="C3" s="6" t="s">
        <v>14</v>
      </c>
      <c r="D3" s="6" t="s">
        <v>6</v>
      </c>
      <c r="E3" s="6" t="s">
        <v>14</v>
      </c>
      <c r="F3" s="6" t="s">
        <v>3</v>
      </c>
      <c r="H3" s="10"/>
      <c r="K3" s="12" t="s">
        <v>16</v>
      </c>
      <c r="L3" s="28">
        <v>11</v>
      </c>
      <c r="M3" s="31" t="s">
        <v>39</v>
      </c>
      <c r="N3">
        <f>(L3*100)/M$1</f>
        <v>13.75</v>
      </c>
    </row>
    <row r="4" spans="1:14" x14ac:dyDescent="0.25">
      <c r="A4" s="5">
        <v>44587</v>
      </c>
      <c r="B4" s="4" t="s">
        <v>4</v>
      </c>
      <c r="C4" s="1">
        <v>6</v>
      </c>
      <c r="D4" s="4" t="s">
        <v>6</v>
      </c>
      <c r="E4" s="3">
        <v>5</v>
      </c>
      <c r="F4" s="4" t="s">
        <v>5</v>
      </c>
      <c r="G4" s="7" t="str">
        <f>IF(C4&gt;E4,"V",IF(E4&gt;C4,"D",IF(C4=E4,"E")))</f>
        <v>V</v>
      </c>
      <c r="K4" s="12" t="s">
        <v>24</v>
      </c>
      <c r="L4" s="28">
        <v>11</v>
      </c>
      <c r="M4" s="31" t="s">
        <v>55</v>
      </c>
      <c r="N4">
        <f>(L4*100)/M$1</f>
        <v>13.75</v>
      </c>
    </row>
    <row r="5" spans="1:14" x14ac:dyDescent="0.25">
      <c r="A5" s="5">
        <v>44602</v>
      </c>
      <c r="B5" s="4" t="s">
        <v>4</v>
      </c>
      <c r="C5" s="2">
        <v>4</v>
      </c>
      <c r="D5" s="4" t="s">
        <v>6</v>
      </c>
      <c r="E5" s="2">
        <v>4</v>
      </c>
      <c r="F5" s="4" t="s">
        <v>7</v>
      </c>
      <c r="G5" s="8" t="str">
        <f t="shared" ref="G5:G15" si="0">IF(C5&gt;E5,"V",IF(E5&gt;C5,"D",IF(C5=E5,"E")))</f>
        <v>E</v>
      </c>
      <c r="K5" s="25" t="s">
        <v>34</v>
      </c>
      <c r="L5" s="29">
        <v>6</v>
      </c>
      <c r="M5" s="4" t="s">
        <v>40</v>
      </c>
      <c r="N5">
        <f>(L5*100)/M$1</f>
        <v>7.5</v>
      </c>
    </row>
    <row r="6" spans="1:14" x14ac:dyDescent="0.25">
      <c r="A6" s="5">
        <v>44608</v>
      </c>
      <c r="B6" s="4" t="s">
        <v>4</v>
      </c>
      <c r="C6" s="1">
        <v>2</v>
      </c>
      <c r="D6" s="4" t="s">
        <v>6</v>
      </c>
      <c r="E6" s="3">
        <v>1</v>
      </c>
      <c r="F6" s="4" t="s">
        <v>3</v>
      </c>
      <c r="G6" s="7" t="str">
        <f t="shared" si="0"/>
        <v>V</v>
      </c>
      <c r="K6" s="12" t="s">
        <v>20</v>
      </c>
      <c r="L6" s="28">
        <v>4</v>
      </c>
      <c r="M6" s="4" t="s">
        <v>41</v>
      </c>
      <c r="N6">
        <f>(L6*100)/M$1</f>
        <v>5</v>
      </c>
    </row>
    <row r="7" spans="1:14" x14ac:dyDescent="0.25">
      <c r="A7" s="5">
        <v>44614</v>
      </c>
      <c r="B7" s="4" t="s">
        <v>4</v>
      </c>
      <c r="C7" s="3">
        <v>6</v>
      </c>
      <c r="D7" s="4" t="s">
        <v>6</v>
      </c>
      <c r="E7" s="1">
        <v>7</v>
      </c>
      <c r="F7" s="4" t="s">
        <v>9</v>
      </c>
      <c r="G7" s="9" t="str">
        <f t="shared" si="0"/>
        <v>D</v>
      </c>
      <c r="K7" s="12" t="s">
        <v>18</v>
      </c>
      <c r="L7" s="28">
        <v>4</v>
      </c>
      <c r="M7" s="4" t="s">
        <v>42</v>
      </c>
      <c r="N7">
        <f>(L7*100)/M$1</f>
        <v>5</v>
      </c>
    </row>
    <row r="8" spans="1:14" x14ac:dyDescent="0.25">
      <c r="A8" s="5">
        <v>44622</v>
      </c>
      <c r="B8" s="4" t="s">
        <v>4</v>
      </c>
      <c r="C8" s="1">
        <v>8</v>
      </c>
      <c r="D8" s="4" t="s">
        <v>6</v>
      </c>
      <c r="E8" s="3">
        <v>4</v>
      </c>
      <c r="F8" s="4" t="s">
        <v>5</v>
      </c>
      <c r="G8" s="7" t="str">
        <f t="shared" si="0"/>
        <v>V</v>
      </c>
      <c r="K8" s="12" t="s">
        <v>29</v>
      </c>
      <c r="L8" s="28">
        <v>3</v>
      </c>
      <c r="M8" s="4" t="s">
        <v>43</v>
      </c>
      <c r="N8">
        <f>(L8*100)/M$1</f>
        <v>3.75</v>
      </c>
    </row>
    <row r="9" spans="1:14" x14ac:dyDescent="0.25">
      <c r="A9" s="5">
        <v>44636</v>
      </c>
      <c r="B9" s="4" t="s">
        <v>4</v>
      </c>
      <c r="C9" s="1">
        <v>9</v>
      </c>
      <c r="D9" s="4" t="s">
        <v>6</v>
      </c>
      <c r="E9" s="3">
        <v>3</v>
      </c>
      <c r="F9" s="4" t="s">
        <v>8</v>
      </c>
      <c r="G9" s="7" t="str">
        <f t="shared" si="0"/>
        <v>V</v>
      </c>
      <c r="K9" s="12" t="s">
        <v>25</v>
      </c>
      <c r="L9" s="28">
        <v>2</v>
      </c>
      <c r="M9" s="4" t="s">
        <v>44</v>
      </c>
      <c r="N9">
        <f>(L9*100)/M$1</f>
        <v>2.5</v>
      </c>
    </row>
    <row r="10" spans="1:14" x14ac:dyDescent="0.25">
      <c r="A10" s="5">
        <v>44649</v>
      </c>
      <c r="B10" s="4" t="s">
        <v>4</v>
      </c>
      <c r="C10" s="3">
        <v>6</v>
      </c>
      <c r="D10" s="4" t="s">
        <v>6</v>
      </c>
      <c r="E10" s="1">
        <v>7</v>
      </c>
      <c r="F10" s="4" t="s">
        <v>9</v>
      </c>
      <c r="G10" s="9" t="str">
        <f t="shared" si="0"/>
        <v>D</v>
      </c>
      <c r="K10" s="12" t="s">
        <v>31</v>
      </c>
      <c r="L10" s="28">
        <v>2</v>
      </c>
      <c r="M10" s="4" t="s">
        <v>45</v>
      </c>
      <c r="N10">
        <f>(L10*100)/M$1</f>
        <v>2.5</v>
      </c>
    </row>
    <row r="11" spans="1:14" x14ac:dyDescent="0.25">
      <c r="A11" s="5">
        <v>44655</v>
      </c>
      <c r="B11" s="4" t="s">
        <v>4</v>
      </c>
      <c r="C11" s="1">
        <v>6</v>
      </c>
      <c r="D11" s="4" t="s">
        <v>6</v>
      </c>
      <c r="E11" s="3">
        <v>3</v>
      </c>
      <c r="F11" s="4" t="s">
        <v>10</v>
      </c>
      <c r="G11" s="7" t="str">
        <f t="shared" si="0"/>
        <v>V</v>
      </c>
      <c r="K11" s="12" t="s">
        <v>28</v>
      </c>
      <c r="L11" s="28">
        <v>2</v>
      </c>
      <c r="M11" s="4" t="s">
        <v>46</v>
      </c>
      <c r="N11">
        <f>(L11*100)/M$1</f>
        <v>2.5</v>
      </c>
    </row>
    <row r="12" spans="1:14" x14ac:dyDescent="0.25">
      <c r="A12" s="20">
        <v>44671</v>
      </c>
      <c r="B12" s="21" t="s">
        <v>4</v>
      </c>
      <c r="C12" s="22">
        <v>9</v>
      </c>
      <c r="D12" s="21" t="s">
        <v>32</v>
      </c>
      <c r="E12" s="23">
        <v>2</v>
      </c>
      <c r="F12" s="21" t="s">
        <v>5</v>
      </c>
      <c r="G12" s="24" t="str">
        <f t="shared" si="0"/>
        <v>V</v>
      </c>
      <c r="K12" s="25" t="s">
        <v>36</v>
      </c>
      <c r="L12" s="29">
        <v>2</v>
      </c>
      <c r="M12" s="4" t="s">
        <v>47</v>
      </c>
      <c r="N12">
        <f>(L12*100)/M$1</f>
        <v>2.5</v>
      </c>
    </row>
    <row r="13" spans="1:14" x14ac:dyDescent="0.25">
      <c r="A13" s="20">
        <v>44678</v>
      </c>
      <c r="B13" s="21" t="s">
        <v>4</v>
      </c>
      <c r="C13" s="23">
        <v>6</v>
      </c>
      <c r="D13" s="21" t="s">
        <v>32</v>
      </c>
      <c r="E13" s="22">
        <v>12</v>
      </c>
      <c r="F13" s="21" t="s">
        <v>35</v>
      </c>
      <c r="G13" s="32" t="str">
        <f t="shared" si="0"/>
        <v>D</v>
      </c>
      <c r="K13" s="12" t="s">
        <v>33</v>
      </c>
      <c r="L13" s="28">
        <v>2</v>
      </c>
      <c r="M13" s="4" t="s">
        <v>48</v>
      </c>
      <c r="N13">
        <f>(L13*100)/M$1</f>
        <v>2.5</v>
      </c>
    </row>
    <row r="14" spans="1:14" x14ac:dyDescent="0.25">
      <c r="A14" s="20">
        <v>44685</v>
      </c>
      <c r="B14" s="21" t="s">
        <v>4</v>
      </c>
      <c r="C14" s="23">
        <v>7</v>
      </c>
      <c r="D14" s="21" t="s">
        <v>32</v>
      </c>
      <c r="E14" s="22">
        <v>8</v>
      </c>
      <c r="F14" s="21" t="s">
        <v>37</v>
      </c>
      <c r="G14" s="32" t="str">
        <f t="shared" si="0"/>
        <v>D</v>
      </c>
      <c r="K14" s="12" t="s">
        <v>21</v>
      </c>
      <c r="L14" s="28">
        <v>2</v>
      </c>
      <c r="M14" s="4" t="s">
        <v>49</v>
      </c>
      <c r="N14">
        <f>(L14*100)/M$1</f>
        <v>2.5</v>
      </c>
    </row>
    <row r="15" spans="1:14" x14ac:dyDescent="0.25">
      <c r="A15" s="20">
        <v>44691</v>
      </c>
      <c r="B15" s="21" t="s">
        <v>4</v>
      </c>
      <c r="C15" s="23">
        <v>11</v>
      </c>
      <c r="D15" s="21" t="s">
        <v>32</v>
      </c>
      <c r="E15" s="22">
        <v>13</v>
      </c>
      <c r="F15" s="21" t="s">
        <v>9</v>
      </c>
      <c r="G15" s="32" t="str">
        <f t="shared" si="0"/>
        <v>D</v>
      </c>
      <c r="K15" s="12" t="s">
        <v>30</v>
      </c>
      <c r="L15" s="28">
        <v>1</v>
      </c>
      <c r="M15" s="4" t="s">
        <v>50</v>
      </c>
      <c r="N15">
        <f>(L15*100)/M$1</f>
        <v>1.25</v>
      </c>
    </row>
    <row r="16" spans="1:14" x14ac:dyDescent="0.25">
      <c r="K16" s="12" t="s">
        <v>19</v>
      </c>
      <c r="L16" s="28">
        <v>1</v>
      </c>
      <c r="M16" s="4" t="s">
        <v>51</v>
      </c>
      <c r="N16">
        <f>(L16*100)/M$1</f>
        <v>1.25</v>
      </c>
    </row>
    <row r="17" spans="11:14" x14ac:dyDescent="0.25">
      <c r="K17" s="12" t="s">
        <v>27</v>
      </c>
      <c r="L17" s="28">
        <v>1</v>
      </c>
      <c r="M17" s="4" t="s">
        <v>52</v>
      </c>
      <c r="N17">
        <f>(L17*100)/M$1</f>
        <v>1.25</v>
      </c>
    </row>
    <row r="18" spans="11:14" ht="15.75" thickBot="1" x14ac:dyDescent="0.3">
      <c r="K18" s="13" t="s">
        <v>23</v>
      </c>
      <c r="L18" s="30">
        <v>1</v>
      </c>
      <c r="M18" s="4" t="s">
        <v>53</v>
      </c>
      <c r="N18">
        <f>(L18*100)/M$1</f>
        <v>1.25</v>
      </c>
    </row>
    <row r="19" spans="11:14" x14ac:dyDescent="0.25">
      <c r="K19" s="12" t="s">
        <v>26</v>
      </c>
      <c r="L19" s="28">
        <v>1</v>
      </c>
      <c r="M19" s="4" t="s">
        <v>54</v>
      </c>
      <c r="N19">
        <f>(L19*100)/M$1</f>
        <v>1.25</v>
      </c>
    </row>
  </sheetData>
  <mergeCells count="1">
    <mergeCell ref="A1:F1"/>
  </mergeCells>
  <phoneticPr fontId="3" type="noConversion"/>
  <conditionalFormatting sqref="L1">
    <cfRule type="colorScale" priority="2">
      <colorScale>
        <cfvo type="min"/>
        <cfvo type="max"/>
        <color theme="9" tint="-0.499984740745262"/>
        <color rgb="FFFF0000"/>
      </colorScale>
    </cfRule>
  </conditionalFormatting>
  <conditionalFormatting sqref="N2:N19">
    <cfRule type="colorScale" priority="1">
      <colorScale>
        <cfvo type="min"/>
        <cfvo type="max"/>
        <color rgb="FFFFEF9C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2022-04-20T01:36:35Z</dcterms:created>
  <dcterms:modified xsi:type="dcterms:W3CDTF">2022-05-11T23:54:07Z</dcterms:modified>
</cp:coreProperties>
</file>